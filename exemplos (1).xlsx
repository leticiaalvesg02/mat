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SO\MAT EST COMP\"/>
    </mc:Choice>
  </mc:AlternateContent>
  <xr:revisionPtr revIDLastSave="0" documentId="13_ncr:1_{FDB24546-CDD3-46A4-B757-5DC236B42B35}" xr6:coauthVersionLast="47" xr6:coauthVersionMax="47" xr10:uidLastSave="{00000000-0000-0000-0000-000000000000}"/>
  <bookViews>
    <workbookView xWindow="-110" yWindow="-110" windowWidth="19420" windowHeight="11500" activeTab="2" xr2:uid="{BD0DECE0-7B05-4842-AE67-7CA5E5B5FBD7}"/>
  </bookViews>
  <sheets>
    <sheet name="dados não agrupados" sheetId="2" r:id="rId1"/>
    <sheet name="agrupados sem intervalo" sheetId="3" r:id="rId2"/>
    <sheet name="agrupados com intervalo" sheetId="1" r:id="rId3"/>
  </sheets>
  <calcPr calcId="191029"/>
</workbook>
</file>

<file path=xl/calcChain.xml><?xml version="1.0" encoding="utf-8"?>
<calcChain xmlns="http://schemas.openxmlformats.org/spreadsheetml/2006/main">
  <c r="H10" i="1" l="1"/>
  <c r="F10" i="1"/>
  <c r="E12" i="1"/>
  <c r="B10" i="1"/>
  <c r="E4" i="1"/>
  <c r="E5" i="1" s="1"/>
  <c r="E6" i="1" s="1"/>
  <c r="E3" i="1"/>
  <c r="E2" i="1"/>
  <c r="D7" i="1"/>
  <c r="D3" i="1"/>
  <c r="D4" i="1"/>
  <c r="D5" i="1"/>
  <c r="D6" i="1"/>
  <c r="D2" i="1"/>
  <c r="C4" i="1"/>
  <c r="C5" i="1"/>
  <c r="C6" i="1" s="1"/>
  <c r="C3" i="1"/>
  <c r="C2" i="1"/>
  <c r="B7" i="1"/>
  <c r="D4" i="3"/>
  <c r="D5" i="3"/>
  <c r="D6" i="3" s="1"/>
  <c r="D3" i="3"/>
  <c r="D2" i="3"/>
  <c r="F12" i="3"/>
  <c r="C10" i="3"/>
  <c r="C7" i="3"/>
  <c r="C3" i="3"/>
  <c r="C4" i="3"/>
  <c r="C5" i="3"/>
  <c r="C6" i="3"/>
  <c r="C2" i="3"/>
  <c r="B7" i="3"/>
  <c r="F6" i="2"/>
  <c r="I2" i="2"/>
</calcChain>
</file>

<file path=xl/sharedStrings.xml><?xml version="1.0" encoding="utf-8"?>
<sst xmlns="http://schemas.openxmlformats.org/spreadsheetml/2006/main" count="64" uniqueCount="56">
  <si>
    <t>classe</t>
  </si>
  <si>
    <t>1| ---3</t>
  </si>
  <si>
    <t>3|--- 5</t>
  </si>
  <si>
    <t>5|---7</t>
  </si>
  <si>
    <t>7|---9</t>
  </si>
  <si>
    <t>9|--11</t>
  </si>
  <si>
    <t>Total</t>
  </si>
  <si>
    <t>xi</t>
  </si>
  <si>
    <t>fi</t>
  </si>
  <si>
    <t>Fi</t>
  </si>
  <si>
    <t>Dia da semana</t>
  </si>
  <si>
    <t>Seg</t>
  </si>
  <si>
    <t>Ter</t>
  </si>
  <si>
    <t>Qua</t>
  </si>
  <si>
    <t>Qui</t>
  </si>
  <si>
    <t>Sex</t>
  </si>
  <si>
    <t>Sab</t>
  </si>
  <si>
    <t>Dom</t>
  </si>
  <si>
    <t>Nº de folgas</t>
  </si>
  <si>
    <t>media</t>
  </si>
  <si>
    <t>moda</t>
  </si>
  <si>
    <t>mediana</t>
  </si>
  <si>
    <t>Em ordem</t>
  </si>
  <si>
    <t>soma</t>
  </si>
  <si>
    <t>média</t>
  </si>
  <si>
    <t>"=" soma xi / n</t>
  </si>
  <si>
    <t>MÉDIA</t>
  </si>
  <si>
    <t>o que mais se repete</t>
  </si>
  <si>
    <t>MODA</t>
  </si>
  <si>
    <t>amodal</t>
  </si>
  <si>
    <t>MEDIANA</t>
  </si>
  <si>
    <t>valor que está no centro</t>
  </si>
  <si>
    <t>xi que tem maior fi=39</t>
  </si>
  <si>
    <t>n/2</t>
  </si>
  <si>
    <r>
      <t xml:space="preserve">f </t>
    </r>
    <r>
      <rPr>
        <vertAlign val="subscript"/>
        <sz val="12"/>
        <rFont val="Calibri"/>
        <family val="2"/>
        <scheme val="minor"/>
      </rPr>
      <t>i</t>
    </r>
  </si>
  <si>
    <r>
      <t>x</t>
    </r>
    <r>
      <rPr>
        <vertAlign val="subscript"/>
        <sz val="12"/>
        <rFont val="Calibri"/>
        <family val="2"/>
        <scheme val="minor"/>
      </rPr>
      <t>i</t>
    </r>
  </si>
  <si>
    <r>
      <t>F</t>
    </r>
    <r>
      <rPr>
        <vertAlign val="subscript"/>
        <sz val="12"/>
        <rFont val="Calibri"/>
        <family val="2"/>
        <scheme val="minor"/>
      </rPr>
      <t>i</t>
    </r>
  </si>
  <si>
    <t>"=" somade xi*fi/soma fi</t>
  </si>
  <si>
    <t>limite inferior</t>
  </si>
  <si>
    <t>intervalo</t>
  </si>
  <si>
    <t>tamanho intervalo</t>
  </si>
  <si>
    <t>Freq. Acum. anterior</t>
  </si>
  <si>
    <t>Md</t>
  </si>
  <si>
    <t>maior fi</t>
  </si>
  <si>
    <t>escolha do intervalo</t>
  </si>
  <si>
    <t>freq anterior</t>
  </si>
  <si>
    <t>freq posterior</t>
  </si>
  <si>
    <t xml:space="preserve">intervalo </t>
  </si>
  <si>
    <t>limite inferior =li</t>
  </si>
  <si>
    <t>tamanho intervalo =h</t>
  </si>
  <si>
    <t>frequência = fi</t>
  </si>
  <si>
    <t xml:space="preserve">  (aqui não tem repetição)</t>
  </si>
  <si>
    <t>xi*fi</t>
  </si>
  <si>
    <t>"-"</t>
  </si>
  <si>
    <t>&lt;51</t>
  </si>
  <si>
    <t>&lt;32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</si>
</sst>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Calibri"/>
      <family val="2"/>
      <scheme val="minor"/>
    </font>
    <font>
      <sz val="10"/>
      <name val="Arial"/>
      <family val="2"/>
    </font>
    <font>
      <vertAlign val="subscript"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justify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/>
    <xf numFmtId="0" fontId="1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2" fontId="2" fillId="0" borderId="1" xfId="0" applyNumberFormat="1" applyFont="1" applyBorder="1"/>
    <xf numFmtId="0" fontId="1" fillId="4" borderId="4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top" wrapText="1"/>
    </xf>
    <xf numFmtId="0" fontId="1" fillId="5" borderId="0" xfId="0" applyFont="1" applyFill="1"/>
    <xf numFmtId="0" fontId="1" fillId="5" borderId="4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top" wrapText="1"/>
    </xf>
    <xf numFmtId="0" fontId="1" fillId="6" borderId="1" xfId="0" applyFont="1" applyFill="1" applyBorder="1"/>
    <xf numFmtId="0" fontId="1" fillId="7" borderId="4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155575</xdr:colOff>
      <xdr:row>18</xdr:row>
      <xdr:rowOff>66675</xdr:rowOff>
    </xdr:from>
    <xdr:ext cx="1521249" cy="4412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7EA0FBB-B421-E4D7-475E-781916BBC91D}"/>
                </a:ext>
              </a:extLst>
            </xdr:cNvPr>
            <xdr:cNvSpPr txBox="1"/>
          </xdr:nvSpPr>
          <xdr:spPr>
            <a:xfrm>
              <a:off x="1984375" y="3330575"/>
              <a:ext cx="1521249" cy="44121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𝑀𝑑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𝑙𝑖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𝑎𝑛𝑡</m:t>
                                </m:r>
                              </m:sub>
                            </m:sSub>
                          </m:e>
                        </m:d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𝑓𝑖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7EA0FBB-B421-E4D7-475E-781916BBC91D}"/>
                </a:ext>
              </a:extLst>
            </xdr:cNvPr>
            <xdr:cNvSpPr txBox="1"/>
          </xdr:nvSpPr>
          <xdr:spPr>
            <a:xfrm>
              <a:off x="1984375" y="3330575"/>
              <a:ext cx="1521249" cy="44121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𝑀𝑑=𝑙𝑖+(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(𝑛/2−𝐹_𝑎𝑛𝑡 )∗ℎ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pt-BR" sz="1100" b="0" i="0">
                  <a:latin typeface="Cambria Math" panose="02040503050406030204" pitchFamily="18" charset="0"/>
                </a:rPr>
                <a:t>𝑓𝑖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5</xdr:col>
      <xdr:colOff>587375</xdr:colOff>
      <xdr:row>18</xdr:row>
      <xdr:rowOff>53975</xdr:rowOff>
    </xdr:from>
    <xdr:ext cx="2043060" cy="5479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FA9B374-4C95-8F85-EEC7-2D37216CF881}"/>
                </a:ext>
              </a:extLst>
            </xdr:cNvPr>
            <xdr:cNvSpPr txBox="1"/>
          </xdr:nvSpPr>
          <xdr:spPr>
            <a:xfrm>
              <a:off x="4257675" y="3317875"/>
              <a:ext cx="2043060" cy="54790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𝑙𝑖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𝑓𝑖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𝑎𝑛𝑡</m:t>
                                </m:r>
                              </m:sub>
                            </m:sSub>
                          </m:e>
                        </m:d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(2∗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𝑓𝑖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𝑎𝑛𝑡</m:t>
                            </m:r>
                          </m:sub>
                        </m:s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𝑝𝑜𝑠𝑡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pt-BR" sz="1100" b="0"/>
            </a:p>
            <a:p>
              <a:endParaRPr lang="pt-BR" sz="1100"/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FA9B374-4C95-8F85-EEC7-2D37216CF881}"/>
                </a:ext>
              </a:extLst>
            </xdr:cNvPr>
            <xdr:cNvSpPr txBox="1"/>
          </xdr:nvSpPr>
          <xdr:spPr>
            <a:xfrm>
              <a:off x="4257675" y="3317875"/>
              <a:ext cx="2043060" cy="54790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𝑀𝑜=𝑙𝑖+(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 𝑓𝑖−𝑓_𝑎𝑛𝑡 )∗</a:t>
              </a:r>
              <a:r>
                <a:rPr lang="pt-BR" sz="1100" b="0" i="0">
                  <a:latin typeface="Cambria Math" panose="02040503050406030204" pitchFamily="18" charset="0"/>
                </a:rPr>
                <a:t>ℎ)/((2∗𝑓𝑖−𝑓_𝑎𝑛𝑡−𝑓_(𝑝𝑜𝑠𝑡)) )</a:t>
              </a:r>
              <a:endParaRPr lang="pt-BR" sz="1100" b="0"/>
            </a:p>
            <a:p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374650</xdr:colOff>
      <xdr:row>12</xdr:row>
      <xdr:rowOff>115454</xdr:rowOff>
    </xdr:from>
    <xdr:ext cx="1150312" cy="3218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49C592F2-5EDB-15D2-A84F-84CA26CDC31F}"/>
                </a:ext>
              </a:extLst>
            </xdr:cNvPr>
            <xdr:cNvSpPr txBox="1"/>
          </xdr:nvSpPr>
          <xdr:spPr>
            <a:xfrm>
              <a:off x="374650" y="2390871"/>
              <a:ext cx="1150312" cy="32181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𝑥𝑖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𝑓𝑖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49C592F2-5EDB-15D2-A84F-84CA26CDC31F}"/>
                </a:ext>
              </a:extLst>
            </xdr:cNvPr>
            <xdr:cNvSpPr txBox="1"/>
          </xdr:nvSpPr>
          <xdr:spPr>
            <a:xfrm>
              <a:off x="374650" y="2390871"/>
              <a:ext cx="1150312" cy="32181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𝑥 ̅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Σ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𝑥𝑖.𝑓𝑖)/𝑛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9C1C-9445-443A-9115-0FC5B5624727}">
  <dimension ref="A1:J8"/>
  <sheetViews>
    <sheetView workbookViewId="0">
      <selection activeCell="H11" sqref="H11"/>
    </sheetView>
  </sheetViews>
  <sheetFormatPr defaultRowHeight="12.5" x14ac:dyDescent="0.25"/>
  <cols>
    <col min="1" max="1" width="7.81640625" bestFit="1" customWidth="1"/>
  </cols>
  <sheetData>
    <row r="1" spans="1:10" ht="31" x14ac:dyDescent="0.2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5" t="s">
        <v>23</v>
      </c>
    </row>
    <row r="2" spans="1:10" ht="31" x14ac:dyDescent="0.25">
      <c r="A2" s="3" t="s">
        <v>18</v>
      </c>
      <c r="B2" s="4">
        <v>5</v>
      </c>
      <c r="C2" s="4">
        <v>8</v>
      </c>
      <c r="D2" s="4">
        <v>6</v>
      </c>
      <c r="E2" s="4">
        <v>9</v>
      </c>
      <c r="F2" s="4">
        <v>2</v>
      </c>
      <c r="G2" s="4">
        <v>10</v>
      </c>
      <c r="H2" s="4">
        <v>25</v>
      </c>
      <c r="I2" s="6">
        <f>SUM(B2:H2)</f>
        <v>65</v>
      </c>
    </row>
    <row r="3" spans="1:10" ht="31" x14ac:dyDescent="0.25">
      <c r="A3" s="3" t="s">
        <v>22</v>
      </c>
      <c r="B3" s="4">
        <v>2</v>
      </c>
      <c r="C3" s="4">
        <v>5</v>
      </c>
      <c r="D3" s="4">
        <v>6</v>
      </c>
      <c r="E3" s="30">
        <v>8</v>
      </c>
      <c r="F3" s="4">
        <v>9</v>
      </c>
      <c r="G3" s="4">
        <v>10</v>
      </c>
      <c r="H3" s="4">
        <v>25</v>
      </c>
      <c r="I3" s="6"/>
    </row>
    <row r="6" spans="1:10" x14ac:dyDescent="0.25">
      <c r="B6" s="7"/>
      <c r="E6" s="26" t="s">
        <v>26</v>
      </c>
      <c r="F6" s="9">
        <f>I2/7</f>
        <v>9.2857142857142865</v>
      </c>
      <c r="H6" s="28" t="s">
        <v>25</v>
      </c>
      <c r="I6" s="28"/>
    </row>
    <row r="7" spans="1:10" x14ac:dyDescent="0.25">
      <c r="B7" s="7"/>
      <c r="E7" s="26" t="s">
        <v>28</v>
      </c>
      <c r="F7" s="29" t="s">
        <v>29</v>
      </c>
      <c r="H7" s="28" t="s">
        <v>27</v>
      </c>
      <c r="I7" s="28"/>
      <c r="J7" s="7" t="s">
        <v>51</v>
      </c>
    </row>
    <row r="8" spans="1:10" x14ac:dyDescent="0.25">
      <c r="E8" s="26" t="s">
        <v>30</v>
      </c>
      <c r="F8" s="10">
        <v>8</v>
      </c>
      <c r="H8" s="7" t="s">
        <v>31</v>
      </c>
    </row>
  </sheetData>
  <sortState xmlns:xlrd2="http://schemas.microsoft.com/office/spreadsheetml/2017/richdata2" columnSort="1" ref="B3:H3">
    <sortCondition ref="B3:H3"/>
  </sortState>
  <mergeCells count="2">
    <mergeCell ref="H6:I6"/>
    <mergeCell ref="H7:I7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F688-D084-47A8-8E05-2176DEE7DAE7}">
  <dimension ref="A1:G12"/>
  <sheetViews>
    <sheetView zoomScale="120" zoomScaleNormal="120" workbookViewId="0">
      <selection activeCell="C12" sqref="C12"/>
    </sheetView>
  </sheetViews>
  <sheetFormatPr defaultRowHeight="12.5" x14ac:dyDescent="0.25"/>
  <sheetData>
    <row r="1" spans="1:7" ht="15.5" x14ac:dyDescent="0.35">
      <c r="A1" s="19" t="s">
        <v>7</v>
      </c>
      <c r="B1" s="20" t="s">
        <v>8</v>
      </c>
      <c r="C1" s="20" t="s">
        <v>52</v>
      </c>
      <c r="D1" s="20" t="s">
        <v>9</v>
      </c>
      <c r="E1" s="14"/>
      <c r="F1" s="14"/>
      <c r="G1" s="15"/>
    </row>
    <row r="2" spans="1:7" ht="15.5" x14ac:dyDescent="0.35">
      <c r="A2" s="11">
        <v>5</v>
      </c>
      <c r="B2" s="12">
        <v>20</v>
      </c>
      <c r="C2" s="27">
        <f>A2*B2</f>
        <v>100</v>
      </c>
      <c r="D2" s="27">
        <f>B2</f>
        <v>20</v>
      </c>
      <c r="E2" s="15"/>
      <c r="F2" s="15"/>
      <c r="G2" s="15"/>
    </row>
    <row r="3" spans="1:7" ht="15.5" x14ac:dyDescent="0.35">
      <c r="A3" s="13">
        <v>10</v>
      </c>
      <c r="B3" s="4">
        <v>21</v>
      </c>
      <c r="C3" s="27">
        <f t="shared" ref="C3:C6" si="0">A3*B3</f>
        <v>210</v>
      </c>
      <c r="D3" s="27">
        <f>D2+B3</f>
        <v>41</v>
      </c>
      <c r="E3" s="15"/>
      <c r="F3" s="15"/>
      <c r="G3" s="15"/>
    </row>
    <row r="4" spans="1:7" ht="15.5" x14ac:dyDescent="0.35">
      <c r="A4" s="13">
        <v>15</v>
      </c>
      <c r="B4" s="4">
        <v>10</v>
      </c>
      <c r="C4" s="27">
        <f t="shared" si="0"/>
        <v>150</v>
      </c>
      <c r="D4" s="27">
        <f t="shared" ref="D4:D6" si="1">D3+B4</f>
        <v>51</v>
      </c>
      <c r="E4" s="15"/>
      <c r="F4" s="15"/>
      <c r="G4" s="15"/>
    </row>
    <row r="5" spans="1:7" ht="15.5" x14ac:dyDescent="0.35">
      <c r="A5" s="13">
        <v>20</v>
      </c>
      <c r="B5" s="4">
        <v>39</v>
      </c>
      <c r="C5" s="27">
        <f t="shared" si="0"/>
        <v>780</v>
      </c>
      <c r="D5" s="27">
        <f t="shared" si="1"/>
        <v>90</v>
      </c>
      <c r="E5" s="14"/>
      <c r="F5" s="14"/>
      <c r="G5" s="15"/>
    </row>
    <row r="6" spans="1:7" ht="15.5" x14ac:dyDescent="0.35">
      <c r="A6" s="13">
        <v>25</v>
      </c>
      <c r="B6" s="4">
        <v>10</v>
      </c>
      <c r="C6" s="27">
        <f t="shared" si="0"/>
        <v>250</v>
      </c>
      <c r="D6" s="32">
        <f t="shared" si="1"/>
        <v>100</v>
      </c>
      <c r="E6" s="14"/>
      <c r="F6" s="14"/>
      <c r="G6" s="15"/>
    </row>
    <row r="7" spans="1:7" ht="15.5" x14ac:dyDescent="0.35">
      <c r="A7" s="13" t="s">
        <v>6</v>
      </c>
      <c r="B7" s="33">
        <f>SUM(B2:B6)</f>
        <v>100</v>
      </c>
      <c r="C7" s="4">
        <f>SUM(C2:C6)</f>
        <v>1490</v>
      </c>
      <c r="D7" s="27" t="s">
        <v>53</v>
      </c>
      <c r="E7" s="14"/>
      <c r="F7" s="14"/>
      <c r="G7" s="15"/>
    </row>
    <row r="8" spans="1:7" ht="15.5" x14ac:dyDescent="0.35">
      <c r="A8" s="15"/>
      <c r="B8" s="15"/>
      <c r="C8" s="15"/>
      <c r="D8" s="15"/>
      <c r="E8" s="15"/>
      <c r="F8" s="15"/>
      <c r="G8" s="15"/>
    </row>
    <row r="9" spans="1:7" ht="15.5" x14ac:dyDescent="0.35">
      <c r="A9" s="15"/>
      <c r="B9" s="15"/>
      <c r="C9" s="15"/>
      <c r="D9" s="15"/>
      <c r="E9" s="15"/>
      <c r="F9" s="15"/>
      <c r="G9" s="15"/>
    </row>
    <row r="10" spans="1:7" ht="15.5" x14ac:dyDescent="0.35">
      <c r="A10" s="15"/>
      <c r="B10" s="31" t="s">
        <v>19</v>
      </c>
      <c r="C10" s="17">
        <f>C7/B7</f>
        <v>14.9</v>
      </c>
      <c r="D10" s="15"/>
      <c r="E10" s="15" t="s">
        <v>37</v>
      </c>
      <c r="F10" s="15"/>
      <c r="G10" s="15"/>
    </row>
    <row r="11" spans="1:7" ht="15.5" x14ac:dyDescent="0.35">
      <c r="A11" s="15"/>
      <c r="B11" s="31" t="s">
        <v>20</v>
      </c>
      <c r="C11" s="17">
        <v>20</v>
      </c>
      <c r="D11" s="15"/>
      <c r="E11" s="15" t="s">
        <v>32</v>
      </c>
      <c r="F11" s="15"/>
      <c r="G11" s="15"/>
    </row>
    <row r="12" spans="1:7" ht="15.5" x14ac:dyDescent="0.35">
      <c r="A12" s="15"/>
      <c r="B12" s="31" t="s">
        <v>21</v>
      </c>
      <c r="C12" s="17">
        <v>15</v>
      </c>
      <c r="D12" s="15"/>
      <c r="E12" s="15" t="s">
        <v>33</v>
      </c>
      <c r="F12" s="15">
        <f>B7/2</f>
        <v>50</v>
      </c>
      <c r="G12" s="34" t="s">
        <v>54</v>
      </c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7AE0-845A-4E01-AE79-05EDB238F61E}">
  <dimension ref="A1:H17"/>
  <sheetViews>
    <sheetView tabSelected="1" topLeftCell="A5" zoomScale="132" zoomScaleNormal="120" workbookViewId="0">
      <selection activeCell="H11" sqref="H11"/>
    </sheetView>
  </sheetViews>
  <sheetFormatPr defaultRowHeight="12.5" x14ac:dyDescent="0.25"/>
  <cols>
    <col min="4" max="4" width="17.6328125" bestFit="1" customWidth="1"/>
    <col min="7" max="7" width="14.90625" bestFit="1" customWidth="1"/>
  </cols>
  <sheetData>
    <row r="1" spans="1:8" ht="17.5" x14ac:dyDescent="0.35">
      <c r="A1" s="19" t="s">
        <v>0</v>
      </c>
      <c r="B1" s="20" t="s">
        <v>34</v>
      </c>
      <c r="C1" s="20" t="s">
        <v>35</v>
      </c>
      <c r="D1" s="20" t="s">
        <v>52</v>
      </c>
      <c r="E1" s="20" t="s">
        <v>36</v>
      </c>
      <c r="G1" s="15"/>
    </row>
    <row r="2" spans="1:8" ht="15.5" x14ac:dyDescent="0.35">
      <c r="A2" s="13" t="s">
        <v>1</v>
      </c>
      <c r="B2" s="4">
        <v>7</v>
      </c>
      <c r="C2" s="4">
        <f>(1+3)/2</f>
        <v>2</v>
      </c>
      <c r="D2" s="4">
        <f>C2*B2</f>
        <v>14</v>
      </c>
      <c r="E2" s="4">
        <f>B2</f>
        <v>7</v>
      </c>
      <c r="G2" s="15"/>
    </row>
    <row r="3" spans="1:8" ht="15.5" x14ac:dyDescent="0.35">
      <c r="A3" s="13" t="s">
        <v>2</v>
      </c>
      <c r="B3" s="4">
        <v>10</v>
      </c>
      <c r="C3" s="4">
        <f>C2+2</f>
        <v>4</v>
      </c>
      <c r="D3" s="4">
        <f t="shared" ref="D3:D6" si="0">C3*B3</f>
        <v>40</v>
      </c>
      <c r="E3" s="4">
        <f>E2+B3</f>
        <v>17</v>
      </c>
      <c r="G3" s="15"/>
    </row>
    <row r="4" spans="1:8" ht="15.5" x14ac:dyDescent="0.35">
      <c r="A4" s="13" t="s">
        <v>3</v>
      </c>
      <c r="B4" s="38">
        <v>15</v>
      </c>
      <c r="C4" s="4">
        <f t="shared" ref="C4:C6" si="1">C3+2</f>
        <v>6</v>
      </c>
      <c r="D4" s="4">
        <f t="shared" si="0"/>
        <v>90</v>
      </c>
      <c r="E4" s="36">
        <f t="shared" ref="E4:E6" si="2">E3+B4</f>
        <v>32</v>
      </c>
      <c r="F4" s="15"/>
      <c r="G4" s="15"/>
    </row>
    <row r="5" spans="1:8" ht="15.5" x14ac:dyDescent="0.35">
      <c r="A5" s="13" t="s">
        <v>4</v>
      </c>
      <c r="B5" s="4">
        <v>10</v>
      </c>
      <c r="C5" s="4">
        <f t="shared" si="1"/>
        <v>8</v>
      </c>
      <c r="D5" s="4">
        <f t="shared" si="0"/>
        <v>80</v>
      </c>
      <c r="E5" s="4">
        <f t="shared" si="2"/>
        <v>42</v>
      </c>
      <c r="F5" s="15"/>
      <c r="G5" s="15"/>
    </row>
    <row r="6" spans="1:8" ht="15.5" x14ac:dyDescent="0.35">
      <c r="A6" s="13" t="s">
        <v>5</v>
      </c>
      <c r="B6" s="4">
        <v>8</v>
      </c>
      <c r="C6" s="4">
        <f t="shared" si="1"/>
        <v>10</v>
      </c>
      <c r="D6" s="4">
        <f t="shared" si="0"/>
        <v>80</v>
      </c>
      <c r="E6" s="35">
        <f t="shared" si="2"/>
        <v>50</v>
      </c>
      <c r="F6" s="15"/>
      <c r="G6" s="15"/>
    </row>
    <row r="7" spans="1:8" ht="15.5" x14ac:dyDescent="0.35">
      <c r="A7" s="13" t="s">
        <v>6</v>
      </c>
      <c r="B7" s="35">
        <f>SUM(B2:B6)</f>
        <v>50</v>
      </c>
      <c r="C7" s="4" t="s">
        <v>53</v>
      </c>
      <c r="D7" s="4">
        <f>SUM(D2:D6)</f>
        <v>304</v>
      </c>
      <c r="E7" s="4"/>
      <c r="F7" s="15"/>
      <c r="G7" s="15"/>
    </row>
    <row r="8" spans="1:8" ht="15.5" x14ac:dyDescent="0.35">
      <c r="A8" s="15"/>
      <c r="B8" s="15"/>
      <c r="C8" s="15"/>
      <c r="D8" s="15"/>
      <c r="E8" s="15"/>
      <c r="F8" s="15"/>
      <c r="G8" s="15"/>
    </row>
    <row r="10" spans="1:8" ht="15.5" x14ac:dyDescent="0.35">
      <c r="A10" s="18" t="s">
        <v>24</v>
      </c>
      <c r="B10" s="16">
        <f>D7/B7</f>
        <v>6.08</v>
      </c>
      <c r="C10" s="10"/>
      <c r="D10" s="37" t="s">
        <v>21</v>
      </c>
      <c r="E10" s="17" t="s">
        <v>42</v>
      </c>
      <c r="F10" s="29">
        <f>E14+(E12-E15)*E16/E17</f>
        <v>6.0666666666666664</v>
      </c>
      <c r="G10" s="39" t="s">
        <v>20</v>
      </c>
      <c r="H10" s="17">
        <f>H14+(H12-H15)*H17/(2*H12-H15-H16)</f>
        <v>6</v>
      </c>
    </row>
    <row r="12" spans="1:8" x14ac:dyDescent="0.25">
      <c r="A12" s="24" t="s">
        <v>44</v>
      </c>
      <c r="B12" s="25"/>
      <c r="D12" s="23" t="s">
        <v>33</v>
      </c>
      <c r="E12" s="21">
        <f>B7/2</f>
        <v>25</v>
      </c>
      <c r="F12" s="7" t="s">
        <v>55</v>
      </c>
      <c r="G12" s="26" t="s">
        <v>43</v>
      </c>
      <c r="H12" s="21">
        <v>15</v>
      </c>
    </row>
    <row r="13" spans="1:8" ht="15.5" x14ac:dyDescent="0.25">
      <c r="D13" s="22" t="s">
        <v>47</v>
      </c>
      <c r="E13" s="13" t="s">
        <v>3</v>
      </c>
      <c r="G13" s="8" t="s">
        <v>39</v>
      </c>
      <c r="H13" s="13" t="s">
        <v>3</v>
      </c>
    </row>
    <row r="14" spans="1:8" x14ac:dyDescent="0.25">
      <c r="D14" s="22" t="s">
        <v>48</v>
      </c>
      <c r="E14" s="21">
        <v>5</v>
      </c>
      <c r="G14" s="8" t="s">
        <v>38</v>
      </c>
      <c r="H14" s="21">
        <v>5</v>
      </c>
    </row>
    <row r="15" spans="1:8" x14ac:dyDescent="0.25">
      <c r="D15" s="22" t="s">
        <v>41</v>
      </c>
      <c r="E15" s="21">
        <v>17</v>
      </c>
      <c r="G15" s="8" t="s">
        <v>45</v>
      </c>
      <c r="H15" s="21">
        <v>10</v>
      </c>
    </row>
    <row r="16" spans="1:8" x14ac:dyDescent="0.25">
      <c r="D16" s="22" t="s">
        <v>49</v>
      </c>
      <c r="E16" s="21">
        <v>2</v>
      </c>
      <c r="G16" s="8" t="s">
        <v>46</v>
      </c>
      <c r="H16" s="21">
        <v>10</v>
      </c>
    </row>
    <row r="17" spans="4:8" x14ac:dyDescent="0.25">
      <c r="D17" s="22" t="s">
        <v>50</v>
      </c>
      <c r="E17" s="21">
        <v>15</v>
      </c>
      <c r="G17" s="8" t="s">
        <v>40</v>
      </c>
      <c r="H17" s="21">
        <v>2</v>
      </c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não agrupados</vt:lpstr>
      <vt:lpstr>agrupados sem intervalo</vt:lpstr>
      <vt:lpstr>agrupados com intervalo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</dc:creator>
  <cp:lastModifiedBy>roseli de paula</cp:lastModifiedBy>
  <dcterms:created xsi:type="dcterms:W3CDTF">2008-04-25T16:10:22Z</dcterms:created>
  <dcterms:modified xsi:type="dcterms:W3CDTF">2026-02-27T10:42:23Z</dcterms:modified>
</cp:coreProperties>
</file>