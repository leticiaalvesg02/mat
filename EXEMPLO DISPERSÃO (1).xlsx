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seli.paula\Documents\"/>
    </mc:Choice>
  </mc:AlternateContent>
  <bookViews>
    <workbookView xWindow="0" yWindow="0" windowWidth="28800" windowHeight="13500" activeTab="2"/>
  </bookViews>
  <sheets>
    <sheet name="ex1" sheetId="1" r:id="rId1"/>
    <sheet name="Planilha2" sheetId="2" r:id="rId2"/>
    <sheet name="Planilh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3" l="1"/>
  <c r="E3" i="3"/>
  <c r="E2" i="3"/>
  <c r="F2" i="3" s="1"/>
  <c r="D3" i="3"/>
  <c r="D2" i="3"/>
  <c r="C8" i="3"/>
  <c r="H7" i="2"/>
  <c r="H5" i="2"/>
  <c r="H8" i="2"/>
  <c r="H4" i="2"/>
  <c r="H3" i="2"/>
  <c r="E5" i="2"/>
  <c r="E10" i="2"/>
  <c r="E6" i="2"/>
  <c r="E7" i="2"/>
  <c r="E8" i="2"/>
  <c r="E9" i="2"/>
  <c r="D5" i="2"/>
  <c r="D10" i="2"/>
  <c r="D6" i="2"/>
  <c r="D7" i="2"/>
  <c r="D8" i="2"/>
  <c r="D9" i="2"/>
  <c r="C10" i="2"/>
  <c r="C7" i="1"/>
  <c r="C8" i="1"/>
  <c r="C6" i="1"/>
  <c r="C5" i="1"/>
  <c r="D4" i="3" l="1"/>
  <c r="F3" i="3"/>
  <c r="E4" i="3" l="1"/>
  <c r="D5" i="3"/>
  <c r="E5" i="3" s="1"/>
  <c r="F4" i="3" l="1"/>
  <c r="D6" i="3"/>
  <c r="E6" i="3" s="1"/>
  <c r="D7" i="3" l="1"/>
  <c r="F6" i="3"/>
  <c r="F5" i="3"/>
  <c r="E7" i="3" l="1"/>
  <c r="E8" i="3" s="1"/>
  <c r="F7" i="3" l="1"/>
  <c r="F8" i="3" s="1"/>
  <c r="F10" i="3" s="1"/>
  <c r="F11" i="3" s="1"/>
  <c r="F12" i="3" s="1"/>
</calcChain>
</file>

<file path=xl/sharedStrings.xml><?xml version="1.0" encoding="utf-8"?>
<sst xmlns="http://schemas.openxmlformats.org/spreadsheetml/2006/main" count="48" uniqueCount="38">
  <si>
    <r>
      <t>x</t>
    </r>
    <r>
      <rPr>
        <vertAlign val="subscript"/>
        <sz val="16"/>
        <color theme="1"/>
        <rFont val="Calibri"/>
        <family val="2"/>
      </rPr>
      <t>i</t>
    </r>
  </si>
  <si>
    <t>dados não agrupados</t>
  </si>
  <si>
    <t>AT</t>
  </si>
  <si>
    <t>amplitude total</t>
  </si>
  <si>
    <t>variância</t>
  </si>
  <si>
    <t>s²</t>
  </si>
  <si>
    <t>s</t>
  </si>
  <si>
    <t>desvio padrão</t>
  </si>
  <si>
    <t>CV</t>
  </si>
  <si>
    <t>%</t>
  </si>
  <si>
    <t>coeficiente de variação</t>
  </si>
  <si>
    <t>Total</t>
  </si>
  <si>
    <t>ESTATURAS</t>
  </si>
  <si>
    <t>150|--- 154</t>
  </si>
  <si>
    <t>154|--- 158</t>
  </si>
  <si>
    <t>158|--- 162</t>
  </si>
  <si>
    <t>162|--- 166</t>
  </si>
  <si>
    <t>166|--- 170</t>
  </si>
  <si>
    <t>170|--- 174</t>
  </si>
  <si>
    <t>TOTAL</t>
  </si>
  <si>
    <t>DADOS AGRUPADOS</t>
  </si>
  <si>
    <r>
      <t>x</t>
    </r>
    <r>
      <rPr>
        <b/>
        <vertAlign val="subscript"/>
        <sz val="18"/>
        <color theme="1"/>
        <rFont val="Calibri"/>
        <family val="2"/>
      </rPr>
      <t>i</t>
    </r>
  </si>
  <si>
    <r>
      <t>f</t>
    </r>
    <r>
      <rPr>
        <b/>
        <vertAlign val="subscript"/>
        <sz val="18"/>
        <color theme="1"/>
        <rFont val="Calibri"/>
        <family val="2"/>
      </rPr>
      <t>i</t>
    </r>
  </si>
  <si>
    <r>
      <t>f</t>
    </r>
    <r>
      <rPr>
        <b/>
        <vertAlign val="subscript"/>
        <sz val="18"/>
        <color theme="1"/>
        <rFont val="Calibri"/>
        <family val="2"/>
      </rPr>
      <t xml:space="preserve">i. </t>
    </r>
    <r>
      <rPr>
        <b/>
        <sz val="18"/>
        <color theme="1"/>
        <rFont val="Calibri"/>
        <family val="2"/>
      </rPr>
      <t>x</t>
    </r>
    <r>
      <rPr>
        <b/>
        <vertAlign val="subscript"/>
        <sz val="18"/>
        <color theme="1"/>
        <rFont val="Calibri"/>
        <family val="2"/>
      </rPr>
      <t>i</t>
    </r>
    <r>
      <rPr>
        <b/>
        <vertAlign val="superscript"/>
        <sz val="18"/>
        <color theme="1"/>
        <rFont val="Calibri"/>
        <family val="2"/>
      </rPr>
      <t>2</t>
    </r>
  </si>
  <si>
    <r>
      <t>f</t>
    </r>
    <r>
      <rPr>
        <b/>
        <vertAlign val="subscript"/>
        <sz val="18"/>
        <color theme="1"/>
        <rFont val="Calibri"/>
        <family val="2"/>
      </rPr>
      <t>i.</t>
    </r>
    <r>
      <rPr>
        <b/>
        <sz val="18"/>
        <color theme="1"/>
        <rFont val="Calibri"/>
        <family val="2"/>
      </rPr>
      <t>x</t>
    </r>
    <r>
      <rPr>
        <b/>
        <vertAlign val="subscript"/>
        <sz val="18"/>
        <color theme="1"/>
        <rFont val="Calibri"/>
        <family val="2"/>
      </rPr>
      <t>i</t>
    </r>
  </si>
  <si>
    <t>AMPLITUDE TOTAL</t>
  </si>
  <si>
    <t>DESVIO PADRÃO</t>
  </si>
  <si>
    <t>COEFICIENTE DE VARIAÇÃO</t>
  </si>
  <si>
    <r>
      <t>s</t>
    </r>
    <r>
      <rPr>
        <sz val="18"/>
        <color theme="1"/>
        <rFont val="Calibri"/>
        <family val="2"/>
        <scheme val="minor"/>
      </rPr>
      <t>²</t>
    </r>
    <r>
      <rPr>
        <sz val="18"/>
        <color theme="1"/>
        <rFont val="Symbol"/>
        <family val="1"/>
        <charset val="2"/>
      </rPr>
      <t xml:space="preserve">        </t>
    </r>
  </si>
  <si>
    <t>VARIÂNCIA populacional</t>
  </si>
  <si>
    <t>VARIÂNCIA amostral</t>
  </si>
  <si>
    <t>"--"</t>
  </si>
  <si>
    <r>
      <t>f</t>
    </r>
    <r>
      <rPr>
        <b/>
        <vertAlign val="subscript"/>
        <sz val="18"/>
        <color theme="1"/>
        <rFont val="Calibri"/>
        <family val="2"/>
      </rPr>
      <t>i*</t>
    </r>
    <r>
      <rPr>
        <b/>
        <sz val="18"/>
        <color theme="1"/>
        <rFont val="Calibri"/>
        <family val="2"/>
      </rPr>
      <t>x</t>
    </r>
    <r>
      <rPr>
        <b/>
        <vertAlign val="subscript"/>
        <sz val="18"/>
        <color theme="1"/>
        <rFont val="Calibri"/>
        <family val="2"/>
      </rPr>
      <t>i</t>
    </r>
  </si>
  <si>
    <r>
      <t>f</t>
    </r>
    <r>
      <rPr>
        <b/>
        <vertAlign val="subscript"/>
        <sz val="18"/>
        <color theme="1"/>
        <rFont val="Calibri"/>
        <family val="2"/>
      </rPr>
      <t>i*</t>
    </r>
    <r>
      <rPr>
        <b/>
        <sz val="18"/>
        <color theme="1"/>
        <rFont val="Calibri"/>
        <family val="2"/>
      </rPr>
      <t>x</t>
    </r>
    <r>
      <rPr>
        <b/>
        <vertAlign val="subscript"/>
        <sz val="18"/>
        <color theme="1"/>
        <rFont val="Calibri"/>
        <family val="2"/>
      </rPr>
      <t>i</t>
    </r>
    <r>
      <rPr>
        <b/>
        <vertAlign val="superscript"/>
        <sz val="18"/>
        <color theme="1"/>
        <rFont val="Calibri"/>
        <family val="2"/>
      </rPr>
      <t>2</t>
    </r>
  </si>
  <si>
    <t>VARIÂNCIA POP</t>
  </si>
  <si>
    <r>
      <t>s</t>
    </r>
    <r>
      <rPr>
        <sz val="18"/>
        <color theme="1"/>
        <rFont val="Symbol"/>
        <family val="1"/>
        <charset val="2"/>
      </rPr>
      <t xml:space="preserve">        </t>
    </r>
  </si>
  <si>
    <t>COEF. DE VARIAÇÃO</t>
  </si>
  <si>
    <r>
      <t xml:space="preserve"> s</t>
    </r>
    <r>
      <rPr>
        <sz val="18"/>
        <color theme="1"/>
        <rFont val="Calibri"/>
        <family val="2"/>
        <scheme val="minor"/>
      </rPr>
      <t>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</si>
</sst>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</font>
    <font>
      <vertAlign val="subscript"/>
      <sz val="16"/>
      <color theme="1"/>
      <name val="Calibri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vertAlign val="subscript"/>
      <sz val="18"/>
      <color theme="1"/>
      <name val="Calibri"/>
      <family val="2"/>
    </font>
    <font>
      <b/>
      <vertAlign val="superscript"/>
      <sz val="18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93366"/>
      </left>
      <right style="medium">
        <color rgb="FF993366"/>
      </right>
      <top style="medium">
        <color rgb="FF993366"/>
      </top>
      <bottom style="medium">
        <color rgb="FF993366"/>
      </bottom>
      <diagonal/>
    </border>
    <border>
      <left/>
      <right style="medium">
        <color rgb="FF993366"/>
      </right>
      <top style="medium">
        <color rgb="FF993366"/>
      </top>
      <bottom style="medium">
        <color rgb="FF993366"/>
      </bottom>
      <diagonal/>
    </border>
    <border>
      <left style="medium">
        <color rgb="FFCC99FF"/>
      </left>
      <right style="medium">
        <color rgb="FFCC99FF"/>
      </right>
      <top/>
      <bottom style="medium">
        <color rgb="FFCC99FF"/>
      </bottom>
      <diagonal/>
    </border>
    <border>
      <left/>
      <right style="medium">
        <color rgb="FFCC99FF"/>
      </right>
      <top/>
      <bottom style="medium">
        <color rgb="FFCC99FF"/>
      </bottom>
      <diagonal/>
    </border>
    <border>
      <left style="medium">
        <color rgb="FFCC99FF"/>
      </left>
      <right style="medium">
        <color rgb="FFCC99FF"/>
      </right>
      <top/>
      <bottom style="medium">
        <color rgb="FF993366"/>
      </bottom>
      <diagonal/>
    </border>
    <border>
      <left/>
      <right style="medium">
        <color rgb="FFCC99FF"/>
      </right>
      <top/>
      <bottom style="medium">
        <color rgb="FF993366"/>
      </bottom>
      <diagonal/>
    </border>
    <border>
      <left style="medium">
        <color rgb="FF993366"/>
      </left>
      <right style="medium">
        <color rgb="FF993366"/>
      </right>
      <top/>
      <bottom style="medium">
        <color rgb="FF993366"/>
      </bottom>
      <diagonal/>
    </border>
    <border>
      <left/>
      <right style="medium">
        <color rgb="FF993366"/>
      </right>
      <top/>
      <bottom style="medium">
        <color rgb="FF993366"/>
      </bottom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/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 style="medium">
        <color rgb="FFFF00FF"/>
      </left>
      <right style="medium">
        <color rgb="FFFF00FF"/>
      </right>
      <top/>
      <bottom style="medium">
        <color rgb="FFFF00FF"/>
      </bottom>
      <diagonal/>
    </border>
    <border>
      <left/>
      <right style="medium">
        <color rgb="FFFF00FF"/>
      </right>
      <top/>
      <bottom style="medium">
        <color rgb="FFFF00F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3" xfId="0" applyFont="1" applyBorder="1" applyAlignment="1">
      <alignment horizontal="right"/>
    </xf>
    <xf numFmtId="0" fontId="4" fillId="0" borderId="3" xfId="0" applyFont="1" applyBorder="1"/>
    <xf numFmtId="2" fontId="4" fillId="0" borderId="3" xfId="0" applyNumberFormat="1" applyFont="1" applyBorder="1"/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10" fillId="0" borderId="3" xfId="0" applyFont="1" applyBorder="1" applyAlignment="1">
      <alignment horizontal="right"/>
    </xf>
    <xf numFmtId="0" fontId="9" fillId="0" borderId="0" xfId="0" applyFont="1"/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77932</xdr:colOff>
      <xdr:row>0</xdr:row>
      <xdr:rowOff>0</xdr:rowOff>
    </xdr:from>
    <xdr:to>
      <xdr:col>11</xdr:col>
      <xdr:colOff>89871</xdr:colOff>
      <xdr:row>1</xdr:row>
      <xdr:rowOff>145649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351193" y="0"/>
          <a:ext cx="2453803" cy="440058"/>
        </a:xfrm>
        <a:prstGeom prst="rect">
          <a:avLst/>
        </a:prstGeom>
      </xdr:spPr>
    </xdr:pic>
    <xdr:clientData/>
  </xdr:twoCellAnchor>
  <xdr:twoCellAnchor editAs="oneCell">
    <xdr:from>
      <xdr:col>10</xdr:col>
      <xdr:colOff>411308</xdr:colOff>
      <xdr:row>6</xdr:row>
      <xdr:rowOff>12987</xdr:rowOff>
    </xdr:from>
    <xdr:to>
      <xdr:col>12</xdr:col>
      <xdr:colOff>208948</xdr:colOff>
      <xdr:row>7</xdr:row>
      <xdr:rowOff>32120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chemeClr val="accent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515967" y="1874692"/>
          <a:ext cx="1018572" cy="322201"/>
        </a:xfrm>
        <a:prstGeom prst="rect">
          <a:avLst/>
        </a:prstGeom>
      </xdr:spPr>
    </xdr:pic>
    <xdr:clientData/>
  </xdr:twoCellAnchor>
  <xdr:twoCellAnchor editAs="oneCell">
    <xdr:from>
      <xdr:col>7</xdr:col>
      <xdr:colOff>12989</xdr:colOff>
      <xdr:row>8</xdr:row>
      <xdr:rowOff>114666</xdr:rowOff>
    </xdr:from>
    <xdr:to>
      <xdr:col>9</xdr:col>
      <xdr:colOff>493272</xdr:colOff>
      <xdr:row>9</xdr:row>
      <xdr:rowOff>69358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prstClr val="black"/>
            <a:schemeClr val="accent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286250" y="2582507"/>
          <a:ext cx="1701215" cy="257760"/>
        </a:xfrm>
        <a:prstGeom prst="rect">
          <a:avLst/>
        </a:prstGeom>
      </xdr:spPr>
    </xdr:pic>
    <xdr:clientData/>
  </xdr:twoCellAnchor>
  <xdr:twoCellAnchor editAs="oneCell">
    <xdr:from>
      <xdr:col>7</xdr:col>
      <xdr:colOff>346825</xdr:colOff>
      <xdr:row>5</xdr:row>
      <xdr:rowOff>911</xdr:rowOff>
    </xdr:from>
    <xdr:to>
      <xdr:col>9</xdr:col>
      <xdr:colOff>580159</xdr:colOff>
      <xdr:row>5</xdr:row>
      <xdr:rowOff>239079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prstClr val="black"/>
            <a:schemeClr val="accent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620086" y="1559547"/>
          <a:ext cx="1454266" cy="238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611427</xdr:colOff>
      <xdr:row>8</xdr:row>
      <xdr:rowOff>6835</xdr:rowOff>
    </xdr:from>
    <xdr:to>
      <xdr:col>2</xdr:col>
      <xdr:colOff>614796</xdr:colOff>
      <xdr:row>8</xdr:row>
      <xdr:rowOff>236655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4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611427" y="3972699"/>
          <a:ext cx="1306562" cy="229820"/>
        </a:xfrm>
        <a:prstGeom prst="rect">
          <a:avLst/>
        </a:prstGeom>
      </xdr:spPr>
    </xdr:pic>
    <xdr:clientData/>
  </xdr:twoCellAnchor>
  <xdr:twoCellAnchor editAs="oneCell">
    <xdr:from>
      <xdr:col>3</xdr:col>
      <xdr:colOff>508953</xdr:colOff>
      <xdr:row>1</xdr:row>
      <xdr:rowOff>34156</xdr:rowOff>
    </xdr:from>
    <xdr:to>
      <xdr:col>4</xdr:col>
      <xdr:colOff>54945</xdr:colOff>
      <xdr:row>1</xdr:row>
      <xdr:rowOff>282864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chemeClr val="accent4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2535180" y="1878542"/>
          <a:ext cx="1165242" cy="248708"/>
        </a:xfrm>
        <a:prstGeom prst="rect">
          <a:avLst/>
        </a:prstGeom>
      </xdr:spPr>
    </xdr:pic>
    <xdr:clientData/>
  </xdr:twoCellAnchor>
  <xdr:twoCellAnchor editAs="oneCell">
    <xdr:from>
      <xdr:col>3</xdr:col>
      <xdr:colOff>784856</xdr:colOff>
      <xdr:row>2</xdr:row>
      <xdr:rowOff>46182</xdr:rowOff>
    </xdr:from>
    <xdr:to>
      <xdr:col>3</xdr:col>
      <xdr:colOff>1382260</xdr:colOff>
      <xdr:row>2</xdr:row>
      <xdr:rowOff>248380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prstClr val="black"/>
            <a:schemeClr val="accent4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2811083" y="2193637"/>
          <a:ext cx="597404" cy="202198"/>
        </a:xfrm>
        <a:prstGeom prst="rect">
          <a:avLst/>
        </a:prstGeom>
      </xdr:spPr>
    </xdr:pic>
    <xdr:clientData/>
  </xdr:twoCellAnchor>
  <xdr:twoCellAnchor editAs="oneCell">
    <xdr:from>
      <xdr:col>4</xdr:col>
      <xdr:colOff>464660</xdr:colOff>
      <xdr:row>1</xdr:row>
      <xdr:rowOff>43296</xdr:rowOff>
    </xdr:from>
    <xdr:to>
      <xdr:col>5</xdr:col>
      <xdr:colOff>20139</xdr:colOff>
      <xdr:row>1</xdr:row>
      <xdr:rowOff>265916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prstClr val="black"/>
            <a:schemeClr val="accent4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188069" y="1887682"/>
          <a:ext cx="603229" cy="222620"/>
        </a:xfrm>
        <a:prstGeom prst="rect">
          <a:avLst/>
        </a:prstGeom>
      </xdr:spPr>
    </xdr:pic>
    <xdr:clientData/>
  </xdr:twoCellAnchor>
  <xdr:twoCellAnchor editAs="oneCell">
    <xdr:from>
      <xdr:col>5</xdr:col>
      <xdr:colOff>694951</xdr:colOff>
      <xdr:row>1</xdr:row>
      <xdr:rowOff>92218</xdr:rowOff>
    </xdr:from>
    <xdr:to>
      <xdr:col>7</xdr:col>
      <xdr:colOff>61016</xdr:colOff>
      <xdr:row>1</xdr:row>
      <xdr:rowOff>271510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prstClr val="black"/>
            <a:schemeClr val="accent4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5800351" y="454168"/>
          <a:ext cx="867386" cy="179292"/>
        </a:xfrm>
        <a:prstGeom prst="rect">
          <a:avLst/>
        </a:prstGeom>
      </xdr:spPr>
    </xdr:pic>
    <xdr:clientData/>
  </xdr:twoCellAnchor>
  <xdr:twoCellAnchor editAs="oneCell">
    <xdr:from>
      <xdr:col>5</xdr:col>
      <xdr:colOff>388696</xdr:colOff>
      <xdr:row>8</xdr:row>
      <xdr:rowOff>54772</xdr:rowOff>
    </xdr:from>
    <xdr:to>
      <xdr:col>6</xdr:col>
      <xdr:colOff>324114</xdr:colOff>
      <xdr:row>8</xdr:row>
      <xdr:rowOff>248801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prstClr val="black"/>
            <a:schemeClr val="accent4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5087696" y="2544879"/>
          <a:ext cx="828954" cy="194029"/>
        </a:xfrm>
        <a:prstGeom prst="rect">
          <a:avLst/>
        </a:prstGeom>
      </xdr:spPr>
    </xdr:pic>
    <xdr:clientData/>
  </xdr:twoCellAnchor>
  <xdr:twoCellAnchor editAs="oneCell">
    <xdr:from>
      <xdr:col>6</xdr:col>
      <xdr:colOff>119404</xdr:colOff>
      <xdr:row>9</xdr:row>
      <xdr:rowOff>37524</xdr:rowOff>
    </xdr:from>
    <xdr:to>
      <xdr:col>8</xdr:col>
      <xdr:colOff>605154</xdr:colOff>
      <xdr:row>9</xdr:row>
      <xdr:rowOff>262746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prstClr val="black"/>
            <a:schemeClr val="accent4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7109696" y="3445357"/>
          <a:ext cx="1702833" cy="225222"/>
        </a:xfrm>
        <a:prstGeom prst="rect">
          <a:avLst/>
        </a:prstGeom>
      </xdr:spPr>
    </xdr:pic>
    <xdr:clientData/>
  </xdr:twoCellAnchor>
  <xdr:twoCellAnchor editAs="oneCell">
    <xdr:from>
      <xdr:col>6</xdr:col>
      <xdr:colOff>152497</xdr:colOff>
      <xdr:row>10</xdr:row>
      <xdr:rowOff>69956</xdr:rowOff>
    </xdr:from>
    <xdr:to>
      <xdr:col>7</xdr:col>
      <xdr:colOff>430085</xdr:colOff>
      <xdr:row>11</xdr:row>
      <xdr:rowOff>6815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8">
          <a:duotone>
            <a:prstClr val="black"/>
            <a:schemeClr val="accent4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7142789" y="4070456"/>
          <a:ext cx="886128" cy="233192"/>
        </a:xfrm>
        <a:prstGeom prst="rect">
          <a:avLst/>
        </a:prstGeom>
      </xdr:spPr>
    </xdr:pic>
    <xdr:clientData/>
  </xdr:twoCellAnchor>
  <xdr:twoCellAnchor editAs="oneCell">
    <xdr:from>
      <xdr:col>6</xdr:col>
      <xdr:colOff>43781</xdr:colOff>
      <xdr:row>11</xdr:row>
      <xdr:rowOff>99098</xdr:rowOff>
    </xdr:from>
    <xdr:to>
      <xdr:col>9</xdr:col>
      <xdr:colOff>57838</xdr:colOff>
      <xdr:row>11</xdr:row>
      <xdr:rowOff>285328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9">
          <a:duotone>
            <a:prstClr val="black"/>
            <a:schemeClr val="accent4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7034073" y="4692265"/>
          <a:ext cx="1839682" cy="186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opLeftCell="A2" zoomScale="330" zoomScaleNormal="330" workbookViewId="0">
      <selection activeCell="C8" sqref="C8"/>
    </sheetView>
  </sheetViews>
  <sheetFormatPr defaultRowHeight="15" x14ac:dyDescent="0.25"/>
  <cols>
    <col min="3" max="3" width="14" bestFit="1" customWidth="1"/>
  </cols>
  <sheetData>
    <row r="1" spans="1:8" s="5" customFormat="1" ht="33.75" x14ac:dyDescent="0.5">
      <c r="A1" s="6" t="s">
        <v>1</v>
      </c>
      <c r="B1" s="6"/>
      <c r="C1" s="6"/>
      <c r="D1" s="6"/>
      <c r="E1" s="6"/>
      <c r="F1" s="6"/>
      <c r="G1" s="6"/>
      <c r="H1" s="6"/>
    </row>
    <row r="2" spans="1:8" ht="15.75" thickBot="1" x14ac:dyDescent="0.3"/>
    <row r="3" spans="1:8" ht="24.75" thickBot="1" x14ac:dyDescent="0.3">
      <c r="A3" s="1" t="s">
        <v>0</v>
      </c>
      <c r="B3" s="2">
        <v>40</v>
      </c>
      <c r="C3" s="2">
        <v>45</v>
      </c>
      <c r="D3" s="2">
        <v>48</v>
      </c>
      <c r="E3" s="2">
        <v>52</v>
      </c>
      <c r="F3" s="2">
        <v>54</v>
      </c>
      <c r="G3" s="2">
        <v>62</v>
      </c>
      <c r="H3" s="2">
        <v>70</v>
      </c>
    </row>
    <row r="4" spans="1:8" s="4" customFormat="1" ht="23.25" x14ac:dyDescent="0.35"/>
    <row r="5" spans="1:8" s="4" customFormat="1" ht="23.25" x14ac:dyDescent="0.35">
      <c r="B5" s="10" t="s">
        <v>2</v>
      </c>
      <c r="C5" s="11">
        <f>H3-B3</f>
        <v>30</v>
      </c>
      <c r="E5" s="7" t="s">
        <v>3</v>
      </c>
      <c r="F5" s="7"/>
      <c r="G5" s="7"/>
    </row>
    <row r="6" spans="1:8" s="4" customFormat="1" ht="23.25" x14ac:dyDescent="0.35">
      <c r="B6" s="10" t="s">
        <v>5</v>
      </c>
      <c r="C6" s="11">
        <f>VAR(B3:H3)</f>
        <v>105</v>
      </c>
      <c r="E6" s="7" t="s">
        <v>4</v>
      </c>
      <c r="F6" s="7"/>
      <c r="G6" s="7"/>
    </row>
    <row r="7" spans="1:8" s="4" customFormat="1" ht="23.25" x14ac:dyDescent="0.35">
      <c r="B7" s="10" t="s">
        <v>6</v>
      </c>
      <c r="C7" s="12">
        <f>STDEV(B3:H3)</f>
        <v>10.246950765959598</v>
      </c>
      <c r="E7" s="7" t="s">
        <v>7</v>
      </c>
      <c r="F7" s="7"/>
      <c r="G7" s="7"/>
    </row>
    <row r="8" spans="1:8" s="4" customFormat="1" ht="23.25" x14ac:dyDescent="0.35">
      <c r="B8" s="10" t="s">
        <v>8</v>
      </c>
      <c r="C8" s="12">
        <f>C7*100/AVERAGE(B3:H3)</f>
        <v>19.333869369735091</v>
      </c>
      <c r="D8" s="4" t="s">
        <v>9</v>
      </c>
      <c r="E8" s="7" t="s">
        <v>10</v>
      </c>
      <c r="F8" s="7"/>
      <c r="G8" s="7"/>
      <c r="H8" s="7"/>
    </row>
    <row r="9" spans="1:8" s="4" customFormat="1" ht="23.25" x14ac:dyDescent="0.35">
      <c r="B9" s="9"/>
    </row>
    <row r="10" spans="1:8" s="4" customFormat="1" ht="23.25" x14ac:dyDescent="0.35"/>
    <row r="11" spans="1:8" s="4" customFormat="1" ht="23.25" x14ac:dyDescent="0.35"/>
    <row r="12" spans="1:8" s="4" customFormat="1" ht="23.25" x14ac:dyDescent="0.35"/>
    <row r="13" spans="1:8" s="4" customFormat="1" ht="23.25" x14ac:dyDescent="0.35"/>
    <row r="14" spans="1:8" s="4" customFormat="1" ht="23.25" x14ac:dyDescent="0.35"/>
  </sheetData>
  <mergeCells count="5">
    <mergeCell ref="A1:H1"/>
    <mergeCell ref="E5:G5"/>
    <mergeCell ref="E6:G6"/>
    <mergeCell ref="E7:G7"/>
    <mergeCell ref="E8:H8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opLeftCell="A2" zoomScale="220" zoomScaleNormal="220" workbookViewId="0">
      <selection activeCell="B7" sqref="B7"/>
    </sheetView>
  </sheetViews>
  <sheetFormatPr defaultRowHeight="23.25" x14ac:dyDescent="0.35"/>
  <cols>
    <col min="7" max="7" width="9.140625" style="4"/>
  </cols>
  <sheetData>
    <row r="1" spans="1:9" x14ac:dyDescent="0.35">
      <c r="A1" s="4"/>
      <c r="B1" s="4"/>
      <c r="C1" s="21" t="s">
        <v>20</v>
      </c>
      <c r="D1" s="21"/>
      <c r="E1" s="21"/>
      <c r="F1" s="21"/>
      <c r="H1" s="4"/>
    </row>
    <row r="2" spans="1:9" x14ac:dyDescent="0.35">
      <c r="A2" s="4"/>
      <c r="B2" s="4"/>
      <c r="C2" s="4"/>
      <c r="D2" s="4"/>
      <c r="E2" s="4"/>
      <c r="F2" s="4"/>
      <c r="H2" s="4"/>
    </row>
    <row r="3" spans="1:9" ht="24" thickBot="1" x14ac:dyDescent="0.4">
      <c r="A3" s="4"/>
      <c r="B3" s="4"/>
      <c r="C3" s="4"/>
      <c r="D3" s="4"/>
      <c r="E3" s="4"/>
      <c r="F3" s="4"/>
      <c r="G3" s="10" t="s">
        <v>2</v>
      </c>
      <c r="H3" s="11">
        <f>B9-B5</f>
        <v>4</v>
      </c>
      <c r="I3" s="4" t="s">
        <v>25</v>
      </c>
    </row>
    <row r="4" spans="1:9" ht="28.5" thickBot="1" x14ac:dyDescent="0.4">
      <c r="A4" s="4"/>
      <c r="B4" s="13" t="s">
        <v>21</v>
      </c>
      <c r="C4" s="14" t="s">
        <v>22</v>
      </c>
      <c r="D4" s="14" t="s">
        <v>24</v>
      </c>
      <c r="E4" s="14" t="s">
        <v>23</v>
      </c>
      <c r="F4" s="4"/>
      <c r="G4" s="22" t="s">
        <v>28</v>
      </c>
      <c r="H4" s="11">
        <f>E10/C10-(D10/C10)^2</f>
        <v>1.0899999999999999</v>
      </c>
      <c r="I4" s="4" t="s">
        <v>29</v>
      </c>
    </row>
    <row r="5" spans="1:9" ht="24" thickBot="1" x14ac:dyDescent="0.4">
      <c r="A5" s="4"/>
      <c r="B5" s="15">
        <v>0</v>
      </c>
      <c r="C5" s="16">
        <v>2</v>
      </c>
      <c r="D5" s="16">
        <f>B5*C5</f>
        <v>0</v>
      </c>
      <c r="E5" s="16">
        <f>D5*B5</f>
        <v>0</v>
      </c>
      <c r="F5" s="4"/>
      <c r="G5" s="10" t="s">
        <v>5</v>
      </c>
      <c r="H5" s="11">
        <f>(C10/(C10-1))*H4</f>
        <v>1.1275862068965516</v>
      </c>
      <c r="I5" s="4" t="s">
        <v>30</v>
      </c>
    </row>
    <row r="6" spans="1:9" ht="24" thickBot="1" x14ac:dyDescent="0.4">
      <c r="A6" s="4"/>
      <c r="B6" s="15">
        <v>1</v>
      </c>
      <c r="C6" s="16">
        <v>6</v>
      </c>
      <c r="D6" s="16">
        <f t="shared" ref="D6:D9" si="0">B6*C6</f>
        <v>6</v>
      </c>
      <c r="E6" s="16">
        <f t="shared" ref="E6:E9" si="1">D6*B6</f>
        <v>6</v>
      </c>
      <c r="F6" s="4"/>
      <c r="G6" s="10"/>
      <c r="H6" s="11"/>
    </row>
    <row r="7" spans="1:9" ht="24" thickBot="1" x14ac:dyDescent="0.4">
      <c r="A7" s="4"/>
      <c r="B7" s="15">
        <v>2</v>
      </c>
      <c r="C7" s="16">
        <v>12</v>
      </c>
      <c r="D7" s="16">
        <f t="shared" si="0"/>
        <v>24</v>
      </c>
      <c r="E7" s="16">
        <f t="shared" si="1"/>
        <v>48</v>
      </c>
      <c r="F7" s="4"/>
      <c r="G7" s="10" t="s">
        <v>6</v>
      </c>
      <c r="H7" s="11">
        <f>SQRT(H5)</f>
        <v>1.0618786215460558</v>
      </c>
      <c r="I7" s="4" t="s">
        <v>26</v>
      </c>
    </row>
    <row r="8" spans="1:9" ht="24" thickBot="1" x14ac:dyDescent="0.4">
      <c r="A8" s="4"/>
      <c r="B8" s="15">
        <v>3</v>
      </c>
      <c r="C8" s="16">
        <v>7</v>
      </c>
      <c r="D8" s="16">
        <f t="shared" si="0"/>
        <v>21</v>
      </c>
      <c r="E8" s="16">
        <f t="shared" si="1"/>
        <v>63</v>
      </c>
      <c r="F8" s="4"/>
      <c r="G8" s="10" t="s">
        <v>8</v>
      </c>
      <c r="H8" s="11">
        <f>H7*100/(D10/C10)</f>
        <v>50.565648645050274</v>
      </c>
      <c r="I8" s="4" t="s">
        <v>27</v>
      </c>
    </row>
    <row r="9" spans="1:9" ht="24" thickBot="1" x14ac:dyDescent="0.4">
      <c r="A9" s="4"/>
      <c r="B9" s="17">
        <v>4</v>
      </c>
      <c r="C9" s="18">
        <v>3</v>
      </c>
      <c r="D9" s="16">
        <f t="shared" si="0"/>
        <v>12</v>
      </c>
      <c r="E9" s="16">
        <f t="shared" si="1"/>
        <v>48</v>
      </c>
      <c r="F9" s="4"/>
      <c r="H9" s="4"/>
    </row>
    <row r="10" spans="1:9" ht="24" thickBot="1" x14ac:dyDescent="0.4">
      <c r="A10" s="4"/>
      <c r="B10" s="19" t="s">
        <v>11</v>
      </c>
      <c r="C10" s="20">
        <f>SUM(C5:C9)</f>
        <v>30</v>
      </c>
      <c r="D10" s="20">
        <f>SUM(D5:D9)</f>
        <v>63</v>
      </c>
      <c r="E10" s="20">
        <f>SUM(E5:E9)</f>
        <v>165</v>
      </c>
      <c r="F10" s="4"/>
      <c r="G10" s="23"/>
      <c r="H10" s="4"/>
    </row>
    <row r="11" spans="1:9" x14ac:dyDescent="0.35">
      <c r="A11" s="4"/>
      <c r="B11" s="4"/>
      <c r="C11" s="4"/>
      <c r="D11" s="4"/>
      <c r="E11" s="4"/>
      <c r="F11" s="4"/>
      <c r="H11" s="4"/>
    </row>
    <row r="12" spans="1:9" x14ac:dyDescent="0.35">
      <c r="A12" s="4"/>
      <c r="B12" s="4"/>
      <c r="C12" s="4"/>
      <c r="D12" s="4"/>
      <c r="E12" s="4"/>
      <c r="F12" s="4"/>
      <c r="H12" s="4"/>
    </row>
    <row r="13" spans="1:9" x14ac:dyDescent="0.35">
      <c r="A13" s="4"/>
      <c r="B13" s="4"/>
      <c r="C13" s="4"/>
      <c r="D13" s="4"/>
      <c r="E13" s="4"/>
      <c r="F13" s="4"/>
      <c r="H13" s="4"/>
    </row>
    <row r="14" spans="1:9" x14ac:dyDescent="0.35">
      <c r="A14" s="4"/>
      <c r="B14" s="4"/>
      <c r="C14" s="4"/>
      <c r="D14" s="4"/>
      <c r="E14" s="4"/>
      <c r="F14" s="4"/>
      <c r="H14" s="4"/>
    </row>
    <row r="15" spans="1:9" x14ac:dyDescent="0.35">
      <c r="A15" s="4"/>
      <c r="B15" s="4"/>
      <c r="C15" s="4"/>
      <c r="D15" s="4"/>
      <c r="E15" s="4"/>
      <c r="F15" s="4"/>
      <c r="H15" s="4"/>
    </row>
    <row r="16" spans="1:9" x14ac:dyDescent="0.35">
      <c r="A16" s="4"/>
      <c r="B16" s="4"/>
      <c r="C16" s="4"/>
      <c r="D16" s="4"/>
      <c r="E16" s="4"/>
      <c r="F16" s="4"/>
      <c r="H16" s="4"/>
    </row>
  </sheetData>
  <mergeCells count="1">
    <mergeCell ref="C1:F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topLeftCell="B1" zoomScale="210" zoomScaleNormal="210" workbookViewId="0">
      <selection activeCell="E1" sqref="D1:E1"/>
    </sheetView>
  </sheetViews>
  <sheetFormatPr defaultRowHeight="23.25" x14ac:dyDescent="0.35"/>
  <cols>
    <col min="1" max="1" width="3.5703125" style="4" hidden="1" customWidth="1"/>
    <col min="2" max="2" width="19.5703125" style="4" customWidth="1"/>
    <col min="3" max="3" width="10.85546875" style="4" customWidth="1"/>
    <col min="4" max="4" width="24.28515625" style="4" bestFit="1" customWidth="1"/>
    <col min="5" max="5" width="15.7109375" style="4" customWidth="1"/>
    <col min="6" max="6" width="13.42578125" style="4" bestFit="1" customWidth="1"/>
    <col min="7" max="14" width="9.140625" style="4"/>
  </cols>
  <sheetData>
    <row r="1" spans="2:6" ht="28.5" thickBot="1" x14ac:dyDescent="0.4">
      <c r="B1" s="24" t="s">
        <v>12</v>
      </c>
      <c r="C1" s="25" t="s">
        <v>22</v>
      </c>
      <c r="D1" s="25" t="s">
        <v>21</v>
      </c>
      <c r="E1" s="25" t="s">
        <v>32</v>
      </c>
      <c r="F1" s="25" t="s">
        <v>33</v>
      </c>
    </row>
    <row r="2" spans="2:6" ht="24" thickBot="1" x14ac:dyDescent="0.4">
      <c r="B2" s="26" t="s">
        <v>13</v>
      </c>
      <c r="C2" s="27">
        <v>4</v>
      </c>
      <c r="D2" s="31">
        <f>(150+154)/2</f>
        <v>152</v>
      </c>
      <c r="E2" s="31">
        <f>C2*D2</f>
        <v>608</v>
      </c>
      <c r="F2" s="31">
        <f>E2*D2</f>
        <v>92416</v>
      </c>
    </row>
    <row r="3" spans="2:6" ht="24" thickBot="1" x14ac:dyDescent="0.4">
      <c r="B3" s="26" t="s">
        <v>14</v>
      </c>
      <c r="C3" s="27">
        <v>9</v>
      </c>
      <c r="D3" s="31">
        <f>D2+4</f>
        <v>156</v>
      </c>
      <c r="E3" s="31">
        <f t="shared" ref="E3:E7" si="0">C3*D3</f>
        <v>1404</v>
      </c>
      <c r="F3" s="27">
        <f t="shared" ref="F3:F7" si="1">E3*D3</f>
        <v>219024</v>
      </c>
    </row>
    <row r="4" spans="2:6" ht="24" thickBot="1" x14ac:dyDescent="0.4">
      <c r="B4" s="26" t="s">
        <v>15</v>
      </c>
      <c r="C4" s="27">
        <v>11</v>
      </c>
      <c r="D4" s="31">
        <f t="shared" ref="D4:D7" si="2">D3+4</f>
        <v>160</v>
      </c>
      <c r="E4" s="31">
        <f t="shared" si="0"/>
        <v>1760</v>
      </c>
      <c r="F4" s="27">
        <f t="shared" si="1"/>
        <v>281600</v>
      </c>
    </row>
    <row r="5" spans="2:6" ht="24" thickBot="1" x14ac:dyDescent="0.4">
      <c r="B5" s="26" t="s">
        <v>16</v>
      </c>
      <c r="C5" s="27">
        <v>8</v>
      </c>
      <c r="D5" s="31">
        <f t="shared" si="2"/>
        <v>164</v>
      </c>
      <c r="E5" s="31">
        <f t="shared" si="0"/>
        <v>1312</v>
      </c>
      <c r="F5" s="27">
        <f t="shared" si="1"/>
        <v>215168</v>
      </c>
    </row>
    <row r="6" spans="2:6" ht="24" thickBot="1" x14ac:dyDescent="0.4">
      <c r="B6" s="26" t="s">
        <v>17</v>
      </c>
      <c r="C6" s="27">
        <v>5</v>
      </c>
      <c r="D6" s="31">
        <f t="shared" si="2"/>
        <v>168</v>
      </c>
      <c r="E6" s="31">
        <f t="shared" si="0"/>
        <v>840</v>
      </c>
      <c r="F6" s="27">
        <f t="shared" si="1"/>
        <v>141120</v>
      </c>
    </row>
    <row r="7" spans="2:6" ht="24" thickBot="1" x14ac:dyDescent="0.4">
      <c r="B7" s="26" t="s">
        <v>18</v>
      </c>
      <c r="C7" s="27">
        <v>3</v>
      </c>
      <c r="D7" s="31">
        <f t="shared" si="2"/>
        <v>172</v>
      </c>
      <c r="E7" s="31">
        <f t="shared" si="0"/>
        <v>516</v>
      </c>
      <c r="F7" s="27">
        <f t="shared" si="1"/>
        <v>88752</v>
      </c>
    </row>
    <row r="8" spans="2:6" ht="24" thickBot="1" x14ac:dyDescent="0.4">
      <c r="B8" s="28" t="s">
        <v>19</v>
      </c>
      <c r="C8" s="29">
        <f>SUM(C2:C7)</f>
        <v>40</v>
      </c>
      <c r="D8" s="29" t="s">
        <v>31</v>
      </c>
      <c r="E8" s="30">
        <f>SUM(E2:E7)</f>
        <v>6440</v>
      </c>
      <c r="F8" s="30">
        <f>SUM(F2:F7)</f>
        <v>1038080</v>
      </c>
    </row>
    <row r="9" spans="2:6" x14ac:dyDescent="0.35">
      <c r="D9" s="3" t="s">
        <v>25</v>
      </c>
      <c r="E9" s="8" t="s">
        <v>2</v>
      </c>
      <c r="F9" s="32">
        <f>174-150</f>
        <v>24</v>
      </c>
    </row>
    <row r="10" spans="2:6" x14ac:dyDescent="0.35">
      <c r="D10" s="3" t="s">
        <v>34</v>
      </c>
      <c r="E10" s="22" t="s">
        <v>37</v>
      </c>
      <c r="F10" s="4">
        <f>F8/C8-(E8/C8)^2</f>
        <v>31</v>
      </c>
    </row>
    <row r="11" spans="2:6" x14ac:dyDescent="0.35">
      <c r="D11" s="3" t="s">
        <v>26</v>
      </c>
      <c r="E11" s="22" t="s">
        <v>35</v>
      </c>
      <c r="F11" s="33">
        <f>SQRT(F10)</f>
        <v>5.5677643628300215</v>
      </c>
    </row>
    <row r="12" spans="2:6" x14ac:dyDescent="0.35">
      <c r="D12" s="3" t="s">
        <v>36</v>
      </c>
      <c r="E12" s="8" t="s">
        <v>8</v>
      </c>
      <c r="F12" s="33">
        <f>F11*100/(E8/C8)</f>
        <v>3.4582387346770318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roseli.paula</dc:creator>
  <cp:lastModifiedBy>roseli.paula</cp:lastModifiedBy>
  <dcterms:created xsi:type="dcterms:W3CDTF">2026-03-05T22:40:20Z</dcterms:created>
  <dcterms:modified xsi:type="dcterms:W3CDTF">2026-03-06T01:15:42Z</dcterms:modified>
</cp:coreProperties>
</file>